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856405d2c564d086/Documents/"/>
    </mc:Choice>
  </mc:AlternateContent>
  <xr:revisionPtr revIDLastSave="91" documentId="8_{AE166380-CA43-4B15-991D-78F01250FFC8}" xr6:coauthVersionLast="47" xr6:coauthVersionMax="47" xr10:uidLastSave="{3EAC1EAD-E9B9-483F-94B7-6A586F12EDE5}"/>
  <bookViews>
    <workbookView xWindow="-108" yWindow="-108" windowWidth="23256" windowHeight="12456" activeTab="2" xr2:uid="{71235E50-C73D-4B24-B660-5D6DC62180AC}"/>
  </bookViews>
  <sheets>
    <sheet name="Raw Data" sheetId="1" r:id="rId1"/>
    <sheet name="Pivot_Calc" sheetId="2" r:id="rId2"/>
    <sheet name="Dashboard" sheetId="3" r:id="rId3"/>
  </sheets>
  <definedNames>
    <definedName name="Slicer_Issue_Category">#N/A</definedName>
    <definedName name="Slicer_SLA_Status">#N/A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7" i="1"/>
  <c r="G9" i="1"/>
  <c r="G16" i="1"/>
  <c r="G17" i="1"/>
  <c r="F4" i="1"/>
  <c r="G4" i="1" s="1"/>
  <c r="F5" i="1"/>
  <c r="G5" i="1" s="1"/>
  <c r="F6" i="1"/>
  <c r="G6" i="1" s="1"/>
  <c r="F7" i="1"/>
  <c r="F8" i="1"/>
  <c r="G8" i="1" s="1"/>
  <c r="F9" i="1"/>
  <c r="F10" i="1"/>
  <c r="G10" i="1" s="1"/>
  <c r="F11" i="1"/>
  <c r="G11" i="1" s="1"/>
  <c r="F12" i="1"/>
  <c r="G12" i="1" s="1"/>
  <c r="F13" i="1"/>
  <c r="G13" i="1" s="1"/>
  <c r="F14" i="1"/>
  <c r="G14" i="1" s="1"/>
  <c r="F15" i="1"/>
  <c r="G15" i="1" s="1"/>
  <c r="F16" i="1"/>
  <c r="F17" i="1"/>
  <c r="F2" i="1"/>
  <c r="G2" i="1" s="1"/>
  <c r="F3" i="1"/>
</calcChain>
</file>

<file path=xl/sharedStrings.xml><?xml version="1.0" encoding="utf-8"?>
<sst xmlns="http://schemas.openxmlformats.org/spreadsheetml/2006/main" count="92" uniqueCount="55">
  <si>
    <t>Status</t>
  </si>
  <si>
    <t>Ticket ID</t>
  </si>
  <si>
    <t>Customer Name</t>
  </si>
  <si>
    <t>Issue Category</t>
  </si>
  <si>
    <t>Date Received</t>
  </si>
  <si>
    <t>Resolution Time</t>
  </si>
  <si>
    <t>SLA Status</t>
  </si>
  <si>
    <t>TCK-101</t>
  </si>
  <si>
    <t>TCK-102</t>
  </si>
  <si>
    <t>TCK-103</t>
  </si>
  <si>
    <t>TCK-104</t>
  </si>
  <si>
    <t>TCK-105</t>
  </si>
  <si>
    <t>TCK-106</t>
  </si>
  <si>
    <t>TCK-107</t>
  </si>
  <si>
    <t>TCK-108</t>
  </si>
  <si>
    <t>TCK-109</t>
  </si>
  <si>
    <t>TCK-110</t>
  </si>
  <si>
    <t>TCK-111</t>
  </si>
  <si>
    <t>TCK-112</t>
  </si>
  <si>
    <t>TCK-113</t>
  </si>
  <si>
    <t>TCK-114</t>
  </si>
  <si>
    <t>TCK-115</t>
  </si>
  <si>
    <t>TCK-116</t>
  </si>
  <si>
    <t>Rahul Sharma</t>
  </si>
  <si>
    <t>Priya Verma</t>
  </si>
  <si>
    <t>Amit Patel</t>
  </si>
  <si>
    <t>Sneha Singh</t>
  </si>
  <si>
    <t>Vikram Kumar</t>
  </si>
  <si>
    <t>Gaurav Singh</t>
  </si>
  <si>
    <t>Neha Rathi</t>
  </si>
  <si>
    <t>Anuj Kumar</t>
  </si>
  <si>
    <t>Sweta Tiwari</t>
  </si>
  <si>
    <t>Pallavi Jaiswal</t>
  </si>
  <si>
    <t>Priyank Baliyan</t>
  </si>
  <si>
    <t>Manju Devi</t>
  </si>
  <si>
    <t>Rudraksh Pal</t>
  </si>
  <si>
    <t>Taniya Malik</t>
  </si>
  <si>
    <t>Risha Jaipal</t>
  </si>
  <si>
    <t>Rakshit Pal</t>
  </si>
  <si>
    <t>Order Delay</t>
  </si>
  <si>
    <t>Refund Issue</t>
  </si>
  <si>
    <t>Wrong Item</t>
  </si>
  <si>
    <t>Billing Query</t>
  </si>
  <si>
    <t>Damaged Product</t>
  </si>
  <si>
    <t>Pending</t>
  </si>
  <si>
    <t>Resolved</t>
  </si>
  <si>
    <t xml:space="preserve">Resolved </t>
  </si>
  <si>
    <t>Payment Issue</t>
  </si>
  <si>
    <t>Different Product</t>
  </si>
  <si>
    <t>Row Labels</t>
  </si>
  <si>
    <t>Closed</t>
  </si>
  <si>
    <t>SLA Breached</t>
  </si>
  <si>
    <t>Grand Total</t>
  </si>
  <si>
    <t>Count of Ticket ID</t>
  </si>
  <si>
    <t>Sum of Resolution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</si>
</sst>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5" x14ac:knownFonts="1">
    <font>
      <sz val="11"/>
      <color theme="1"/>
      <name val="Calibri"/>
      <family val="2"/>
      <scheme val="minor"/>
    </font>
    <font>
      <sz val="11"/>
      <color theme="1"/>
      <name val="Calibri"/>
      <family val="2"/>
      <scheme val="minor"/>
    </font>
    <font>
      <sz val="11"/>
      <color theme="1"/>
      <name val="Bahnschrift SemiBold"/>
      <family val="2"/>
    </font>
    <font>
      <sz val="10"/>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2" fillId="0" borderId="0" xfId="0" applyFont="1"/>
    <xf numFmtId="0" fontId="3" fillId="0" borderId="0" xfId="0" applyFont="1"/>
    <xf numFmtId="14" fontId="3" fillId="0" borderId="0" xfId="0" applyNumberFormat="1" applyFont="1"/>
    <xf numFmtId="0" fontId="3" fillId="0" borderId="0" xfId="1" applyNumberFormat="1" applyFont="1"/>
    <xf numFmtId="0" fontId="0" fillId="0" borderId="0" xfId="0" pivotButton="1"/>
    <xf numFmtId="0" fontId="0" fillId="0" borderId="0" xfId="0" applyAlignment="1">
      <alignment horizontal="left"/>
    </xf>
    <xf numFmtId="0" fontId="0" fillId="0" borderId="0" xfId="0" applyNumberForma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[Customer_Support_SLA_Tracker.xlsx.xlsx]Pivot_Calc!PivotTable2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Pivot_Calc!$B$3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AC-427A-A116-8D377F0930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AC-427A-A116-8D377F0930C9}"/>
              </c:ext>
            </c:extLst>
          </c:dPt>
          <c:cat>
            <c:strRef>
              <c:f>Pivot_Calc!$A$4:$A$6</c:f>
              <c:strCache>
                <c:ptCount val="2"/>
                <c:pt idx="0">
                  <c:v>Closed</c:v>
                </c:pt>
                <c:pt idx="1">
                  <c:v>SLA Breached</c:v>
                </c:pt>
              </c:strCache>
            </c:strRef>
          </c:cat>
          <c:val>
            <c:numRef>
              <c:f>Pivot_Calc!$B$4:$B$6</c:f>
              <c:numCache>
                <c:formatCode>General</c:formatCode>
                <c:ptCount val="2"/>
                <c:pt idx="0">
                  <c:v>5</c:v>
                </c:pt>
                <c:pt idx="1">
                  <c:v>11</c:v>
                </c:pt>
              </c:numCache>
            </c:numRef>
          </c:val>
          <c:extLst>
            <c:ext xmlns:c16="http://schemas.microsoft.com/office/drawing/2014/chart" uri="{C3380CC4-5D6E-409C-BE32-E72D297353CC}">
              <c16:uniqueId val="{00000004-E8AC-427A-A116-8D377F0930C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[Customer_Support_SLA_Tracker.xlsx.xlsx]Pivot_Calc!PivotTable3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Pivot_Calc!$E$3</c:f>
              <c:strCache>
                <c:ptCount val="1"/>
                <c:pt idx="0">
                  <c:v>Total</c:v>
                </c:pt>
              </c:strCache>
            </c:strRef>
          </c:tx>
          <c:spPr>
            <a:solidFill>
              <a:schemeClr val="accent1"/>
            </a:solidFill>
            <a:ln>
              <a:noFill/>
            </a:ln>
            <a:effectLst/>
          </c:spPr>
          <c:invertIfNegative val="0"/>
          <c:cat>
            <c:strRef>
              <c:f>Pivot_Calc!$D$4:$D$11</c:f>
              <c:strCache>
                <c:ptCount val="7"/>
                <c:pt idx="0">
                  <c:v>Billing Query</c:v>
                </c:pt>
                <c:pt idx="1">
                  <c:v>Damaged Product</c:v>
                </c:pt>
                <c:pt idx="2">
                  <c:v>Different Product</c:v>
                </c:pt>
                <c:pt idx="3">
                  <c:v>Order Delay</c:v>
                </c:pt>
                <c:pt idx="4">
                  <c:v>Payment Issue</c:v>
                </c:pt>
                <c:pt idx="5">
                  <c:v>Refund Issue</c:v>
                </c:pt>
                <c:pt idx="6">
                  <c:v>Wrong Item</c:v>
                </c:pt>
              </c:strCache>
            </c:strRef>
          </c:cat>
          <c:val>
            <c:numRef>
              <c:f>Pivot_Calc!$E$4:$E$11</c:f>
              <c:numCache>
                <c:formatCode>General</c:formatCode>
                <c:ptCount val="7"/>
                <c:pt idx="0">
                  <c:v>2</c:v>
                </c:pt>
                <c:pt idx="1">
                  <c:v>2</c:v>
                </c:pt>
                <c:pt idx="2">
                  <c:v>1</c:v>
                </c:pt>
                <c:pt idx="3">
                  <c:v>4</c:v>
                </c:pt>
                <c:pt idx="4">
                  <c:v>2</c:v>
                </c:pt>
                <c:pt idx="5">
                  <c:v>2</c:v>
                </c:pt>
                <c:pt idx="6">
                  <c:v>3</c:v>
                </c:pt>
              </c:numCache>
            </c:numRef>
          </c:val>
          <c:extLst>
            <c:ext xmlns:c16="http://schemas.microsoft.com/office/drawing/2014/chart" uri="{C3380CC4-5D6E-409C-BE32-E72D297353CC}">
              <c16:uniqueId val="{00000000-EBD5-4DDE-8117-9B31B8AB4225}"/>
            </c:ext>
          </c:extLst>
        </c:ser>
        <c:dLbls>
          <c:showLegendKey val="0"/>
          <c:showVal val="0"/>
          <c:showCatName val="0"/>
          <c:showSerName val="0"/>
          <c:showPercent val="0"/>
          <c:showBubbleSize val="0"/>
        </c:dLbls>
        <c:gapWidth val="182"/>
        <c:axId val="1251964383"/>
        <c:axId val="1224552431"/>
      </c:barChart>
      <c:catAx>
        <c:axId val="1251964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52431"/>
        <c:crosses val="autoZero"/>
        <c:auto val="1"/>
        <c:lblAlgn val="ctr"/>
        <c:lblOffset val="100"/>
        <c:noMultiLvlLbl val="0"/>
      </c:catAx>
      <c:valAx>
        <c:axId val="1224552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96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[Customer_Support_SLA_Tracker.xlsx.xlsx]Pivot_Calc!PivotTable4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Pivot_Calc!$I$3</c:f>
              <c:strCache>
                <c:ptCount val="1"/>
                <c:pt idx="0">
                  <c:v>Total</c:v>
                </c:pt>
              </c:strCache>
            </c:strRef>
          </c:tx>
          <c:spPr>
            <a:solidFill>
              <a:schemeClr val="accent1"/>
            </a:solidFill>
            <a:ln>
              <a:noFill/>
            </a:ln>
            <a:effectLst/>
          </c:spPr>
          <c:invertIfNegative val="0"/>
          <c:cat>
            <c:strRef>
              <c:f>Pivot_Calc!$H$4:$H$7</c:f>
              <c:strCache>
                <c:ptCount val="3"/>
                <c:pt idx="0">
                  <c:v>Pending</c:v>
                </c:pt>
                <c:pt idx="1">
                  <c:v>Resolved</c:v>
                </c:pt>
                <c:pt idx="2">
                  <c:v>Resolved </c:v>
                </c:pt>
              </c:strCache>
            </c:strRef>
          </c:cat>
          <c:val>
            <c:numRef>
              <c:f>Pivot_Calc!$I$4:$I$7</c:f>
              <c:numCache>
                <c:formatCode>General</c:formatCode>
                <c:ptCount val="3"/>
                <c:pt idx="0">
                  <c:v>91</c:v>
                </c:pt>
                <c:pt idx="1">
                  <c:v>32</c:v>
                </c:pt>
                <c:pt idx="2">
                  <c:v>5</c:v>
                </c:pt>
              </c:numCache>
            </c:numRef>
          </c:val>
          <c:extLst>
            <c:ext xmlns:c16="http://schemas.microsoft.com/office/drawing/2014/chart" uri="{C3380CC4-5D6E-409C-BE32-E72D297353CC}">
              <c16:uniqueId val="{00000000-7342-4647-860F-FB84D850E812}"/>
            </c:ext>
          </c:extLst>
        </c:ser>
        <c:dLbls>
          <c:showLegendKey val="0"/>
          <c:showVal val="0"/>
          <c:showCatName val="0"/>
          <c:showSerName val="0"/>
          <c:showPercent val="0"/>
          <c:showBubbleSize val="0"/>
        </c:dLbls>
        <c:gapWidth val="219"/>
        <c:overlap val="-27"/>
        <c:axId val="1279109919"/>
        <c:axId val="1224590831"/>
      </c:barChart>
      <c:catAx>
        <c:axId val="127910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90831"/>
        <c:crosses val="autoZero"/>
        <c:auto val="1"/>
        <c:lblAlgn val="ctr"/>
        <c:lblOffset val="100"/>
        <c:noMultiLvlLbl val="0"/>
      </c:catAx>
      <c:valAx>
        <c:axId val="122459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10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449580</xdr:colOff>
      <xdr:row>0</xdr:row>
      <xdr:rowOff>38100</xdr:rowOff>
    </xdr:from>
    <xdr:to>
      <xdr:col>6</xdr:col>
      <xdr:colOff>434340</xdr:colOff>
      <xdr:row>7</xdr:row>
      <xdr:rowOff>76200</xdr:rowOff>
    </xdr:to>
    <xdr:sp macro="" textlink="">
      <xdr:nvSpPr>
        <xdr:cNvPr id="7" name="Rectangle: Rounded Corners 6">
          <a:extLst>
            <a:ext uri="{FF2B5EF4-FFF2-40B4-BE49-F238E27FC236}">
              <a16:creationId xmlns:a16="http://schemas.microsoft.com/office/drawing/2014/main" id="{119D8339-F4CA-768A-9B4A-F0ACCAA9EE33}"/>
            </a:ext>
          </a:extLst>
        </xdr:cNvPr>
        <xdr:cNvSpPr/>
      </xdr:nvSpPr>
      <xdr:spPr>
        <a:xfrm>
          <a:off x="1059180" y="38100"/>
          <a:ext cx="3032760" cy="13182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Total Tickets</a:t>
          </a:r>
        </a:p>
        <a:p>
          <a:pPr algn="ctr"/>
          <a:r>
            <a:rPr lang="en-IN" sz="1600" b="1"/>
            <a:t>16</a:t>
          </a:r>
        </a:p>
      </xdr:txBody>
    </xdr:sp>
    <xdr:clientData/>
  </xdr:twoCellAnchor>
  <xdr:twoCellAnchor>
    <xdr:from>
      <xdr:col>7</xdr:col>
      <xdr:colOff>236220</xdr:colOff>
      <xdr:row>0</xdr:row>
      <xdr:rowOff>38100</xdr:rowOff>
    </xdr:from>
    <xdr:to>
      <xdr:col>12</xdr:col>
      <xdr:colOff>83820</xdr:colOff>
      <xdr:row>7</xdr:row>
      <xdr:rowOff>53340</xdr:rowOff>
    </xdr:to>
    <xdr:sp macro="" textlink="">
      <xdr:nvSpPr>
        <xdr:cNvPr id="8" name="Rectangle: Rounded Corners 7">
          <a:extLst>
            <a:ext uri="{FF2B5EF4-FFF2-40B4-BE49-F238E27FC236}">
              <a16:creationId xmlns:a16="http://schemas.microsoft.com/office/drawing/2014/main" id="{E334BF19-7E29-0EC7-6D42-ED9BDDBFA78A}"/>
            </a:ext>
          </a:extLst>
        </xdr:cNvPr>
        <xdr:cNvSpPr/>
      </xdr:nvSpPr>
      <xdr:spPr>
        <a:xfrm>
          <a:off x="4503420" y="38100"/>
          <a:ext cx="2895600" cy="1295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SLA Breached</a:t>
          </a:r>
        </a:p>
        <a:p>
          <a:pPr algn="ctr"/>
          <a:r>
            <a:rPr lang="en-IN" sz="1600" b="1"/>
            <a:t>11</a:t>
          </a:r>
        </a:p>
      </xdr:txBody>
    </xdr:sp>
    <xdr:clientData/>
  </xdr:twoCellAnchor>
  <xdr:twoCellAnchor>
    <xdr:from>
      <xdr:col>12</xdr:col>
      <xdr:colOff>480060</xdr:colOff>
      <xdr:row>0</xdr:row>
      <xdr:rowOff>38100</xdr:rowOff>
    </xdr:from>
    <xdr:to>
      <xdr:col>17</xdr:col>
      <xdr:colOff>594360</xdr:colOff>
      <xdr:row>7</xdr:row>
      <xdr:rowOff>38100</xdr:rowOff>
    </xdr:to>
    <xdr:sp macro="" textlink="">
      <xdr:nvSpPr>
        <xdr:cNvPr id="9" name="Rectangle: Rounded Corners 8">
          <a:extLst>
            <a:ext uri="{FF2B5EF4-FFF2-40B4-BE49-F238E27FC236}">
              <a16:creationId xmlns:a16="http://schemas.microsoft.com/office/drawing/2014/main" id="{9CB34DEB-6002-FE8E-8C1F-96DA78111748}"/>
            </a:ext>
          </a:extLst>
        </xdr:cNvPr>
        <xdr:cNvSpPr/>
      </xdr:nvSpPr>
      <xdr:spPr>
        <a:xfrm>
          <a:off x="7795260" y="38100"/>
          <a:ext cx="3162300" cy="12801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Closed Tickets</a:t>
          </a:r>
        </a:p>
        <a:p>
          <a:pPr algn="ctr"/>
          <a:r>
            <a:rPr lang="en-IN" sz="1600" b="1"/>
            <a:t> 5</a:t>
          </a:r>
        </a:p>
      </xdr:txBody>
    </xdr:sp>
    <xdr:clientData/>
  </xdr:twoCellAnchor>
  <xdr:twoCellAnchor>
    <xdr:from>
      <xdr:col>1</xdr:col>
      <xdr:colOff>472440</xdr:colOff>
      <xdr:row>8</xdr:row>
      <xdr:rowOff>137160</xdr:rowOff>
    </xdr:from>
    <xdr:to>
      <xdr:col>6</xdr:col>
      <xdr:colOff>472440</xdr:colOff>
      <xdr:row>23</xdr:row>
      <xdr:rowOff>137160</xdr:rowOff>
    </xdr:to>
    <xdr:graphicFrame macro="">
      <xdr:nvGraphicFramePr>
        <xdr:cNvPr id="10" name="Chart 9">
          <a:extLst>
            <a:ext uri="{FF2B5EF4-FFF2-40B4-BE49-F238E27FC236}">
              <a16:creationId xmlns:a16="http://schemas.microsoft.com/office/drawing/2014/main" id="{A61E7259-CA97-476F-9D37-C6E7EA350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243840</xdr:colOff>
      <xdr:row>9</xdr:row>
      <xdr:rowOff>0</xdr:rowOff>
    </xdr:from>
    <xdr:to>
      <xdr:col>12</xdr:col>
      <xdr:colOff>220980</xdr:colOff>
      <xdr:row>24</xdr:row>
      <xdr:rowOff>0</xdr:rowOff>
    </xdr:to>
    <xdr:graphicFrame macro="">
      <xdr:nvGraphicFramePr>
        <xdr:cNvPr id="11" name="Chart 10">
          <a:extLst>
            <a:ext uri="{FF2B5EF4-FFF2-40B4-BE49-F238E27FC236}">
              <a16:creationId xmlns:a16="http://schemas.microsoft.com/office/drawing/2014/main" id="{942AA064-2C75-4E49-9F5A-5E1BF408C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9</xdr:row>
      <xdr:rowOff>0</xdr:rowOff>
    </xdr:from>
    <xdr:to>
      <xdr:col>18</xdr:col>
      <xdr:colOff>152400</xdr:colOff>
      <xdr:row>24</xdr:row>
      <xdr:rowOff>0</xdr:rowOff>
    </xdr:to>
    <xdr:graphicFrame macro="">
      <xdr:nvGraphicFramePr>
        <xdr:cNvPr id="12" name="Chart 11">
          <a:extLst>
            <a:ext uri="{FF2B5EF4-FFF2-40B4-BE49-F238E27FC236}">
              <a16:creationId xmlns:a16="http://schemas.microsoft.com/office/drawing/2014/main" id="{EB6E4EDC-AADF-439D-BC7A-58B99F6C6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259080</xdr:colOff>
      <xdr:row>0</xdr:row>
      <xdr:rowOff>68580</xdr:rowOff>
    </xdr:from>
    <xdr:to>
      <xdr:col>21</xdr:col>
      <xdr:colOff>259080</xdr:colOff>
      <xdr:row>13</xdr:row>
      <xdr:rowOff>158115</xdr:rowOff>
    </xdr:to>
    <mc:AlternateContent xmlns:mc="http://schemas.openxmlformats.org/markup-compatibility/2006">
      <mc:Choice xmlns:a14="http://schemas.microsoft.com/office/drawing/2010/main" Requires="a14">
        <xdr:graphicFrame macro="">
          <xdr:nvGraphicFramePr>
            <xdr:cNvPr id="13" name="Issue Category">
              <a:extLst>
                <a:ext uri="{FF2B5EF4-FFF2-40B4-BE49-F238E27FC236}">
                  <a16:creationId xmlns:a16="http://schemas.microsoft.com/office/drawing/2014/main" id="{28B05D2C-9357-B8AE-6417-EB559F167629}"/>
                </a:ext>
              </a:extLst>
            </xdr:cNvPr>
            <xdr:cNvGraphicFramePr/>
          </xdr:nvGraphicFramePr>
          <xdr:xfrm>
            <a:off x="0" y="0"/>
            <a:ext cx="0" cy="0"/>
          </xdr:xfrm>
          <a:graphic>
            <a:graphicData uri="http://schemas.microsoft.com/office/drawing/2010/slicer">
              <sle:slicer xmlns:sle="http://schemas.microsoft.com/office/drawing/2010/slicer" name="Issue Category"/>
            </a:graphicData>
          </a:graphic>
        </xdr:graphicFrame>
      </mc:Choice>
      <mc:Fallback>
        <xdr:sp macro="" textlink="">
          <xdr:nvSpPr>
            <xdr:cNvPr id="0" name=""/>
            <xdr:cNvSpPr>
              <a:spLocks noTextEdit="1"/>
            </xdr:cNvSpPr>
          </xdr:nvSpPr>
          <xdr:spPr>
            <a:xfrm>
              <a:off x="11231880" y="68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289560</xdr:colOff>
      <xdr:row>14</xdr:row>
      <xdr:rowOff>53341</xdr:rowOff>
    </xdr:from>
    <xdr:to>
      <xdr:col>21</xdr:col>
      <xdr:colOff>289560</xdr:colOff>
      <xdr:row>24</xdr:row>
      <xdr:rowOff>30481</xdr:rowOff>
    </xdr:to>
    <mc:AlternateContent xmlns:mc="http://schemas.openxmlformats.org/markup-compatibility/2006">
      <mc:Choice xmlns:a14="http://schemas.microsoft.com/office/drawing/2010/main" Requires="a14">
        <xdr:graphicFrame macro="">
          <xdr:nvGraphicFramePr>
            <xdr:cNvPr id="14" name="SLA Status">
              <a:extLst>
                <a:ext uri="{FF2B5EF4-FFF2-40B4-BE49-F238E27FC236}">
                  <a16:creationId xmlns:a16="http://schemas.microsoft.com/office/drawing/2014/main" id="{6618B914-DB77-46C8-B5A7-5E7ADEF57FDB}"/>
                </a:ext>
              </a:extLst>
            </xdr:cNvPr>
            <xdr:cNvGraphicFramePr/>
          </xdr:nvGraphicFramePr>
          <xdr:xfrm>
            <a:off x="0" y="0"/>
            <a:ext cx="0" cy="0"/>
          </xdr:xfrm>
          <a:graphic>
            <a:graphicData uri="http://schemas.microsoft.com/office/drawing/2010/slicer">
              <sle:slicer xmlns:sle="http://schemas.microsoft.com/office/drawing/2010/slicer" name="SLA Status"/>
            </a:graphicData>
          </a:graphic>
        </xdr:graphicFrame>
      </mc:Choice>
      <mc:Fallback>
        <xdr:sp macro="" textlink="">
          <xdr:nvSpPr>
            <xdr:cNvPr id="0" name=""/>
            <xdr:cNvSpPr>
              <a:spLocks noTextEdit="1"/>
            </xdr:cNvSpPr>
          </xdr:nvSpPr>
          <xdr:spPr>
            <a:xfrm>
              <a:off x="11262360" y="2613661"/>
              <a:ext cx="182880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LAKSHI BALIYAN" refreshedDate="46302.389971412034" createdVersion="8" refreshedVersion="8" minRefreshableVersion="3" recordCount="16" xr:uid="{03FD0C1D-AEA9-4249-A0FB-CC3EF79D2CA3}">
  <cacheSource type="worksheet">
    <worksheetSource ref="A1:G17" sheet="Raw Data"/>
  </cacheSource>
  <cacheFields count="7">
    <cacheField name="Ticket ID" numFmtId="0">
      <sharedItems count="16">
        <s v="TCK-101"/>
        <s v="TCK-102"/>
        <s v="TCK-103"/>
        <s v="TCK-104"/>
        <s v="TCK-105"/>
        <s v="TCK-106"/>
        <s v="TCK-107"/>
        <s v="TCK-108"/>
        <s v="TCK-109"/>
        <s v="TCK-110"/>
        <s v="TCK-111"/>
        <s v="TCK-112"/>
        <s v="TCK-113"/>
        <s v="TCK-114"/>
        <s v="TCK-115"/>
        <s v="TCK-116"/>
      </sharedItems>
    </cacheField>
    <cacheField name="Customer Name" numFmtId="0">
      <sharedItems/>
    </cacheField>
    <cacheField name="Issue Category" numFmtId="0">
      <sharedItems count="7">
        <s v="Order Delay"/>
        <s v="Refund Issue"/>
        <s v="Wrong Item"/>
        <s v="Damaged Product"/>
        <s v="Billing Query"/>
        <s v="Payment Issue"/>
        <s v="Different Product"/>
      </sharedItems>
    </cacheField>
    <cacheField name="Date Received" numFmtId="14">
      <sharedItems containsSemiMixedTypes="0" containsNonDate="0" containsDate="1" containsString="0" minDate="2026-09-24T00:00:00" maxDate="2026-10-04T00:00:00"/>
    </cacheField>
    <cacheField name="Status" numFmtId="0">
      <sharedItems count="3">
        <s v="Pending"/>
        <s v="Resolved"/>
        <s v="Resolved "/>
      </sharedItems>
    </cacheField>
    <cacheField name="Resolution Time" numFmtId="0">
      <sharedItems containsSemiMixedTypes="0" containsString="0" containsNumber="1" containsInteger="1" minValue="4" maxValue="13"/>
    </cacheField>
    <cacheField name="SLA Status" numFmtId="0">
      <sharedItems count="2">
        <s v="SLA Breached"/>
        <s v="Closed"/>
      </sharedItems>
    </cacheField>
  </cacheFields>
  <extLst>
    <ext xmlns:x14="http://schemas.microsoft.com/office/spreadsheetml/2009/9/main" uri="{725AE2AE-9491-48be-B2B4-4EB974FC3084}">
      <x14:pivotCacheDefinition pivotCacheId="16846655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s v="Rahul Sharma"/>
    <x v="0"/>
    <d v="2026-09-28T00:00:00"/>
    <x v="0"/>
    <n v="9"/>
    <x v="0"/>
  </r>
  <r>
    <x v="1"/>
    <s v="Priya Verma"/>
    <x v="1"/>
    <d v="2026-10-03T00:00:00"/>
    <x v="1"/>
    <n v="9"/>
    <x v="1"/>
  </r>
  <r>
    <x v="2"/>
    <s v="Amit Patel"/>
    <x v="2"/>
    <d v="2026-09-25T00:00:00"/>
    <x v="0"/>
    <n v="12"/>
    <x v="0"/>
  </r>
  <r>
    <x v="3"/>
    <s v="Sneha Singh"/>
    <x v="3"/>
    <d v="2026-10-02T00:00:00"/>
    <x v="0"/>
    <n v="12"/>
    <x v="0"/>
  </r>
  <r>
    <x v="4"/>
    <s v="Vikram Kumar"/>
    <x v="4"/>
    <d v="2026-10-01T00:00:00"/>
    <x v="0"/>
    <n v="6"/>
    <x v="0"/>
  </r>
  <r>
    <x v="5"/>
    <s v="Anuj Kumar"/>
    <x v="5"/>
    <d v="2026-09-30T00:00:00"/>
    <x v="1"/>
    <n v="6"/>
    <x v="1"/>
  </r>
  <r>
    <x v="6"/>
    <s v="Gaurav Singh"/>
    <x v="6"/>
    <d v="2026-10-02T00:00:00"/>
    <x v="2"/>
    <n v="5"/>
    <x v="0"/>
  </r>
  <r>
    <x v="7"/>
    <s v="Neha Rathi"/>
    <x v="0"/>
    <d v="2026-10-01T00:00:00"/>
    <x v="1"/>
    <n v="5"/>
    <x v="1"/>
  </r>
  <r>
    <x v="8"/>
    <s v="Sweta Tiwari"/>
    <x v="2"/>
    <d v="2026-09-24T00:00:00"/>
    <x v="0"/>
    <n v="13"/>
    <x v="0"/>
  </r>
  <r>
    <x v="9"/>
    <s v="Pallavi Jaiswal"/>
    <x v="1"/>
    <d v="2026-09-26T00:00:00"/>
    <x v="0"/>
    <n v="13"/>
    <x v="0"/>
  </r>
  <r>
    <x v="10"/>
    <s v="Priyank Baliyan"/>
    <x v="0"/>
    <d v="2026-10-03T00:00:00"/>
    <x v="0"/>
    <n v="4"/>
    <x v="0"/>
  </r>
  <r>
    <x v="11"/>
    <s v="Manju Devi"/>
    <x v="3"/>
    <d v="2026-09-27T00:00:00"/>
    <x v="0"/>
    <n v="4"/>
    <x v="0"/>
  </r>
  <r>
    <x v="12"/>
    <s v="Rudraksh Pal"/>
    <x v="4"/>
    <d v="2026-09-28T00:00:00"/>
    <x v="0"/>
    <n v="9"/>
    <x v="0"/>
  </r>
  <r>
    <x v="13"/>
    <s v="Taniya Malik"/>
    <x v="5"/>
    <d v="2026-10-02T00:00:00"/>
    <x v="0"/>
    <n v="9"/>
    <x v="0"/>
  </r>
  <r>
    <x v="14"/>
    <s v="Risha Jaipal"/>
    <x v="2"/>
    <d v="2026-10-01T00:00:00"/>
    <x v="1"/>
    <n v="6"/>
    <x v="1"/>
  </r>
  <r>
    <x v="15"/>
    <s v="Rakshit Pal"/>
    <x v="0"/>
    <d v="2026-10-03T00:00:00"/>
    <x v="1"/>
    <n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AD0B71-652F-4032-BCE5-E2BEB6E416E7}"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I7" firstHeaderRow="1" firstDataRow="1" firstDataCol="1"/>
  <pivotFields count="7">
    <pivotField showAll="0"/>
    <pivotField showAll="0"/>
    <pivotField showAll="0">
      <items count="8">
        <item x="4"/>
        <item x="3"/>
        <item x="6"/>
        <item x="0"/>
        <item x="5"/>
        <item x="1"/>
        <item x="2"/>
        <item t="default"/>
      </items>
    </pivotField>
    <pivotField numFmtId="14" showAll="0"/>
    <pivotField axis="axisRow" showAll="0">
      <items count="4">
        <item x="0"/>
        <item x="1"/>
        <item x="2"/>
        <item t="default"/>
      </items>
    </pivotField>
    <pivotField dataField="1" showAll="0"/>
    <pivotField showAll="0">
      <items count="3">
        <item x="1"/>
        <item x="0"/>
        <item t="default"/>
      </items>
    </pivotField>
  </pivotFields>
  <rowFields count="1">
    <field x="4"/>
  </rowFields>
  <rowItems count="4">
    <i>
      <x/>
    </i>
    <i>
      <x v="1"/>
    </i>
    <i>
      <x v="2"/>
    </i>
    <i t="grand">
      <x/>
    </i>
  </rowItems>
  <colItems count="1">
    <i/>
  </colItems>
  <dataFields count="1">
    <dataField name="Sum of Resolution Time" fld="5"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7DBDDA-989F-47FF-B94B-0DDCDFDC2445}"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1" firstHeaderRow="1" firstDataRow="1" firstDataCol="1"/>
  <pivotFields count="7">
    <pivotField dataField="1" showAll="0">
      <items count="17">
        <item x="0"/>
        <item x="1"/>
        <item x="2"/>
        <item x="3"/>
        <item x="4"/>
        <item x="5"/>
        <item x="6"/>
        <item x="7"/>
        <item x="8"/>
        <item x="9"/>
        <item x="10"/>
        <item x="11"/>
        <item x="12"/>
        <item x="13"/>
        <item x="14"/>
        <item x="15"/>
        <item t="default"/>
      </items>
    </pivotField>
    <pivotField showAll="0"/>
    <pivotField axis="axisRow" showAll="0">
      <items count="8">
        <item x="4"/>
        <item x="3"/>
        <item x="6"/>
        <item x="0"/>
        <item x="5"/>
        <item x="1"/>
        <item x="2"/>
        <item t="default"/>
      </items>
    </pivotField>
    <pivotField numFmtId="14" showAll="0"/>
    <pivotField showAll="0"/>
    <pivotField showAll="0"/>
    <pivotField showAll="0">
      <items count="3">
        <item x="1"/>
        <item x="0"/>
        <item t="default"/>
      </items>
    </pivotField>
  </pivotFields>
  <rowFields count="1">
    <field x="2"/>
  </rowFields>
  <rowItems count="8">
    <i>
      <x/>
    </i>
    <i>
      <x v="1"/>
    </i>
    <i>
      <x v="2"/>
    </i>
    <i>
      <x v="3"/>
    </i>
    <i>
      <x v="4"/>
    </i>
    <i>
      <x v="5"/>
    </i>
    <i>
      <x v="6"/>
    </i>
    <i t="grand">
      <x/>
    </i>
  </rowItems>
  <colItems count="1">
    <i/>
  </colItems>
  <dataFields count="1">
    <dataField name="Count of Ticke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F3F843-2984-4F7D-9BC5-AD0073DE7732}"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7">
    <pivotField dataField="1" showAll="0"/>
    <pivotField showAll="0"/>
    <pivotField showAll="0">
      <items count="8">
        <item x="4"/>
        <item x="3"/>
        <item x="6"/>
        <item x="0"/>
        <item x="5"/>
        <item x="1"/>
        <item x="2"/>
        <item t="default"/>
      </items>
    </pivotField>
    <pivotField numFmtId="14" showAll="0"/>
    <pivotField showAll="0"/>
    <pivotField showAll="0"/>
    <pivotField axis="axisRow" showAll="0">
      <items count="3">
        <item x="1"/>
        <item x="0"/>
        <item t="default"/>
      </items>
    </pivotField>
  </pivotFields>
  <rowFields count="1">
    <field x="6"/>
  </rowFields>
  <rowItems count="3">
    <i>
      <x/>
    </i>
    <i>
      <x v="1"/>
    </i>
    <i t="grand">
      <x/>
    </i>
  </rowItems>
  <colItems count="1">
    <i/>
  </colItems>
  <dataFields count="1">
    <dataField name="Count of Ticket ID"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3"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Category" xr10:uid="{C0BAA3B9-D1E8-4CA7-A86E-CB87A59CBD7A}" sourceName="Issue Category">
  <pivotTables>
    <pivotTable tabId="2" name="PivotTable2"/>
    <pivotTable tabId="2" name="PivotTable3"/>
    <pivotTable tabId="2" name="PivotTable4"/>
  </pivotTables>
  <data>
    <tabular pivotCacheId="1684665512">
      <items count="7">
        <i x="4" s="1"/>
        <i x="3" s="1"/>
        <i x="6" s="1"/>
        <i x="0" s="1"/>
        <i x="5"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A_Status" xr10:uid="{14A34CCD-D37A-49D3-A04D-F2208F246559}" sourceName="SLA Status">
  <pivotTables>
    <pivotTable tabId="2" name="PivotTable2"/>
    <pivotTable tabId="2" name="PivotTable3"/>
    <pivotTable tabId="2" name="PivotTable4"/>
  </pivotTables>
  <data>
    <tabular pivotCacheId="168466551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sue Category" xr10:uid="{501E3CB8-9AE6-46E5-99E3-DA5729BD2AA1}" cache="Slicer_Issue_Category" caption="Issue Category" rowHeight="234950"/>
  <slicer name="SLA Status" xr10:uid="{75133302-AC80-4BB7-B156-DCD6D5159B71}" cache="Slicer_SLA_Status" caption="SLA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39947-695C-42F5-8BBA-206C84A84FCE}">
  <dimension ref="A1:G17"/>
  <sheetViews>
    <sheetView zoomScale="145" workbookViewId="0">
      <selection activeCell="A3" sqref="A3"/>
    </sheetView>
  </sheetViews>
  <sheetFormatPr defaultRowHeight="14.4" x14ac:dyDescent="0.3"/>
  <cols>
    <col min="2" max="2" width="16.109375" customWidth="1"/>
    <col min="3" max="3" width="15.33203125" customWidth="1"/>
    <col min="4" max="4" width="14" customWidth="1"/>
    <col min="6" max="6" width="16.21875" customWidth="1"/>
    <col min="7" max="7" width="12.44140625" customWidth="1"/>
  </cols>
  <sheetData>
    <row r="1" spans="1:7" x14ac:dyDescent="0.3">
      <c r="A1" s="1" t="s">
        <v>1</v>
      </c>
      <c r="B1" s="1" t="s">
        <v>2</v>
      </c>
      <c r="C1" s="1" t="s">
        <v>3</v>
      </c>
      <c r="D1" s="1" t="s">
        <v>4</v>
      </c>
      <c r="E1" s="1" t="s">
        <v>0</v>
      </c>
      <c r="F1" s="1" t="s">
        <v>5</v>
      </c>
      <c r="G1" s="1" t="s">
        <v>6</v>
      </c>
    </row>
    <row r="2" spans="1:7" x14ac:dyDescent="0.3">
      <c r="A2" s="2" t="s">
        <v>7</v>
      </c>
      <c r="B2" s="2" t="s">
        <v>23</v>
      </c>
      <c r="C2" s="2" t="s">
        <v>39</v>
      </c>
      <c r="D2" s="3">
        <v>46293</v>
      </c>
      <c r="E2" s="2" t="s">
        <v>44</v>
      </c>
      <c r="F2" s="4">
        <f ca="1">TODAY()-D2</f>
        <v>9</v>
      </c>
      <c r="G2" t="str">
        <f ca="1">IF(E2="Resolved","Closed",IF(F2&gt;2,"SLA Breached","Within SLA"))</f>
        <v>SLA Breached</v>
      </c>
    </row>
    <row r="3" spans="1:7" x14ac:dyDescent="0.3">
      <c r="A3" s="2" t="s">
        <v>8</v>
      </c>
      <c r="B3" s="2" t="s">
        <v>24</v>
      </c>
      <c r="C3" s="2" t="s">
        <v>40</v>
      </c>
      <c r="D3" s="3">
        <v>46298</v>
      </c>
      <c r="E3" s="2" t="s">
        <v>45</v>
      </c>
      <c r="F3" s="2">
        <f ca="1">TODAY()-D2</f>
        <v>9</v>
      </c>
      <c r="G3" t="str">
        <f t="shared" ref="G3:G17" si="0">IF(E3="Resolved","Closed",IF(F3&gt;2,"SLA Breached","Within SLA"))</f>
        <v>Closed</v>
      </c>
    </row>
    <row r="4" spans="1:7" x14ac:dyDescent="0.3">
      <c r="A4" s="2" t="s">
        <v>9</v>
      </c>
      <c r="B4" s="2" t="s">
        <v>25</v>
      </c>
      <c r="C4" s="2" t="s">
        <v>41</v>
      </c>
      <c r="D4" s="3">
        <v>46290</v>
      </c>
      <c r="E4" s="2" t="s">
        <v>44</v>
      </c>
      <c r="F4" s="4">
        <f t="shared" ref="F4" ca="1" si="1">TODAY()-D4</f>
        <v>12</v>
      </c>
      <c r="G4" t="str">
        <f t="shared" ca="1" si="0"/>
        <v>SLA Breached</v>
      </c>
    </row>
    <row r="5" spans="1:7" x14ac:dyDescent="0.3">
      <c r="A5" s="2" t="s">
        <v>10</v>
      </c>
      <c r="B5" s="2" t="s">
        <v>26</v>
      </c>
      <c r="C5" s="2" t="s">
        <v>43</v>
      </c>
      <c r="D5" s="3">
        <v>46297</v>
      </c>
      <c r="E5" s="2" t="s">
        <v>44</v>
      </c>
      <c r="F5" s="2">
        <f t="shared" ref="F5" ca="1" si="2">TODAY()-D4</f>
        <v>12</v>
      </c>
      <c r="G5" t="str">
        <f t="shared" ca="1" si="0"/>
        <v>SLA Breached</v>
      </c>
    </row>
    <row r="6" spans="1:7" x14ac:dyDescent="0.3">
      <c r="A6" s="2" t="s">
        <v>11</v>
      </c>
      <c r="B6" s="2" t="s">
        <v>27</v>
      </c>
      <c r="C6" s="2" t="s">
        <v>42</v>
      </c>
      <c r="D6" s="3">
        <v>46296</v>
      </c>
      <c r="E6" s="2" t="s">
        <v>44</v>
      </c>
      <c r="F6" s="4">
        <f t="shared" ref="F6" ca="1" si="3">TODAY()-D6</f>
        <v>6</v>
      </c>
      <c r="G6" t="str">
        <f t="shared" ca="1" si="0"/>
        <v>SLA Breached</v>
      </c>
    </row>
    <row r="7" spans="1:7" x14ac:dyDescent="0.3">
      <c r="A7" s="2" t="s">
        <v>12</v>
      </c>
      <c r="B7" s="2" t="s">
        <v>30</v>
      </c>
      <c r="C7" s="2" t="s">
        <v>47</v>
      </c>
      <c r="D7" s="3">
        <v>46295</v>
      </c>
      <c r="E7" s="2" t="s">
        <v>45</v>
      </c>
      <c r="F7" s="2">
        <f t="shared" ref="F7" ca="1" si="4">TODAY()-D6</f>
        <v>6</v>
      </c>
      <c r="G7" t="str">
        <f t="shared" si="0"/>
        <v>Closed</v>
      </c>
    </row>
    <row r="8" spans="1:7" x14ac:dyDescent="0.3">
      <c r="A8" s="2" t="s">
        <v>13</v>
      </c>
      <c r="B8" s="2" t="s">
        <v>28</v>
      </c>
      <c r="C8" s="2" t="s">
        <v>48</v>
      </c>
      <c r="D8" s="3">
        <v>46297</v>
      </c>
      <c r="E8" s="2" t="s">
        <v>46</v>
      </c>
      <c r="F8" s="4">
        <f t="shared" ref="F8" ca="1" si="5">TODAY()-D8</f>
        <v>5</v>
      </c>
      <c r="G8" t="str">
        <f t="shared" ca="1" si="0"/>
        <v>SLA Breached</v>
      </c>
    </row>
    <row r="9" spans="1:7" x14ac:dyDescent="0.3">
      <c r="A9" s="2" t="s">
        <v>14</v>
      </c>
      <c r="B9" s="2" t="s">
        <v>29</v>
      </c>
      <c r="C9" s="2" t="s">
        <v>39</v>
      </c>
      <c r="D9" s="3">
        <v>46296</v>
      </c>
      <c r="E9" s="2" t="s">
        <v>45</v>
      </c>
      <c r="F9" s="2">
        <f t="shared" ref="F9" ca="1" si="6">TODAY()-D8</f>
        <v>5</v>
      </c>
      <c r="G9" t="str">
        <f t="shared" si="0"/>
        <v>Closed</v>
      </c>
    </row>
    <row r="10" spans="1:7" x14ac:dyDescent="0.3">
      <c r="A10" s="2" t="s">
        <v>15</v>
      </c>
      <c r="B10" s="2" t="s">
        <v>31</v>
      </c>
      <c r="C10" s="2" t="s">
        <v>41</v>
      </c>
      <c r="D10" s="3">
        <v>46289</v>
      </c>
      <c r="E10" s="2" t="s">
        <v>44</v>
      </c>
      <c r="F10" s="4">
        <f t="shared" ref="F10" ca="1" si="7">TODAY()-D10</f>
        <v>13</v>
      </c>
      <c r="G10" t="str">
        <f t="shared" ca="1" si="0"/>
        <v>SLA Breached</v>
      </c>
    </row>
    <row r="11" spans="1:7" x14ac:dyDescent="0.3">
      <c r="A11" s="2" t="s">
        <v>16</v>
      </c>
      <c r="B11" s="2" t="s">
        <v>32</v>
      </c>
      <c r="C11" s="2" t="s">
        <v>40</v>
      </c>
      <c r="D11" s="3">
        <v>46291</v>
      </c>
      <c r="E11" s="2" t="s">
        <v>44</v>
      </c>
      <c r="F11" s="2">
        <f t="shared" ref="F11" ca="1" si="8">TODAY()-D10</f>
        <v>13</v>
      </c>
      <c r="G11" t="str">
        <f t="shared" ca="1" si="0"/>
        <v>SLA Breached</v>
      </c>
    </row>
    <row r="12" spans="1:7" x14ac:dyDescent="0.3">
      <c r="A12" s="2" t="s">
        <v>17</v>
      </c>
      <c r="B12" s="2" t="s">
        <v>33</v>
      </c>
      <c r="C12" s="2" t="s">
        <v>39</v>
      </c>
      <c r="D12" s="3">
        <v>46298</v>
      </c>
      <c r="E12" s="2" t="s">
        <v>44</v>
      </c>
      <c r="F12" s="4">
        <f t="shared" ref="F12" ca="1" si="9">TODAY()-D12</f>
        <v>4</v>
      </c>
      <c r="G12" t="str">
        <f t="shared" ca="1" si="0"/>
        <v>SLA Breached</v>
      </c>
    </row>
    <row r="13" spans="1:7" x14ac:dyDescent="0.3">
      <c r="A13" s="2" t="s">
        <v>18</v>
      </c>
      <c r="B13" s="2" t="s">
        <v>34</v>
      </c>
      <c r="C13" s="2" t="s">
        <v>43</v>
      </c>
      <c r="D13" s="3">
        <v>46292</v>
      </c>
      <c r="E13" s="2" t="s">
        <v>44</v>
      </c>
      <c r="F13" s="2">
        <f t="shared" ref="F13" ca="1" si="10">TODAY()-D12</f>
        <v>4</v>
      </c>
      <c r="G13" t="str">
        <f t="shared" ca="1" si="0"/>
        <v>SLA Breached</v>
      </c>
    </row>
    <row r="14" spans="1:7" x14ac:dyDescent="0.3">
      <c r="A14" s="2" t="s">
        <v>19</v>
      </c>
      <c r="B14" s="2" t="s">
        <v>35</v>
      </c>
      <c r="C14" s="2" t="s">
        <v>42</v>
      </c>
      <c r="D14" s="3">
        <v>46293</v>
      </c>
      <c r="E14" s="2" t="s">
        <v>44</v>
      </c>
      <c r="F14" s="4">
        <f t="shared" ref="F14" ca="1" si="11">TODAY()-D14</f>
        <v>9</v>
      </c>
      <c r="G14" t="str">
        <f t="shared" ca="1" si="0"/>
        <v>SLA Breached</v>
      </c>
    </row>
    <row r="15" spans="1:7" x14ac:dyDescent="0.3">
      <c r="A15" s="2" t="s">
        <v>20</v>
      </c>
      <c r="B15" s="2" t="s">
        <v>36</v>
      </c>
      <c r="C15" s="2" t="s">
        <v>47</v>
      </c>
      <c r="D15" s="3">
        <v>46297</v>
      </c>
      <c r="E15" s="2" t="s">
        <v>44</v>
      </c>
      <c r="F15" s="2">
        <f t="shared" ref="F15" ca="1" si="12">TODAY()-D14</f>
        <v>9</v>
      </c>
      <c r="G15" t="str">
        <f t="shared" ca="1" si="0"/>
        <v>SLA Breached</v>
      </c>
    </row>
    <row r="16" spans="1:7" x14ac:dyDescent="0.3">
      <c r="A16" s="2" t="s">
        <v>21</v>
      </c>
      <c r="B16" s="2" t="s">
        <v>37</v>
      </c>
      <c r="C16" s="2" t="s">
        <v>41</v>
      </c>
      <c r="D16" s="3">
        <v>46296</v>
      </c>
      <c r="E16" s="2" t="s">
        <v>45</v>
      </c>
      <c r="F16" s="4">
        <f t="shared" ref="F16" ca="1" si="13">TODAY()-D16</f>
        <v>6</v>
      </c>
      <c r="G16" t="str">
        <f t="shared" si="0"/>
        <v>Closed</v>
      </c>
    </row>
    <row r="17" spans="1:7" x14ac:dyDescent="0.3">
      <c r="A17" s="2" t="s">
        <v>22</v>
      </c>
      <c r="B17" s="2" t="s">
        <v>38</v>
      </c>
      <c r="C17" s="2" t="s">
        <v>39</v>
      </c>
      <c r="D17" s="3">
        <v>46298</v>
      </c>
      <c r="E17" s="2" t="s">
        <v>45</v>
      </c>
      <c r="F17" s="2">
        <f t="shared" ref="F17" ca="1" si="14">TODAY()-D16</f>
        <v>6</v>
      </c>
      <c r="G17" t="str">
        <f t="shared" si="0"/>
        <v>Closed</v>
      </c>
    </row>
  </sheetData>
  <phoneticPr fontId="4" type="noConversion"/>
  <pageMargins left="0.7" right="0.7" top="0.75" bottom="0.75" header="0.3" footer="0.3"/>
  <pageSetup orientation="portrait" r:id="rId1"/>
  <ignoredErrors>
    <ignoredError sqref="F3 F5 F7 F9 F11 F13 F15"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3B537-3F9D-45F1-AD6F-D19F699B0EBD}">
  <dimension ref="A3:I11"/>
  <sheetViews>
    <sheetView zoomScale="166" workbookViewId="0">
      <selection activeCell="H5" sqref="H4:H6"/>
    </sheetView>
  </sheetViews>
  <sheetFormatPr defaultRowHeight="14.4" x14ac:dyDescent="0.3"/>
  <cols>
    <col min="1" max="1" width="12.5546875" bestFit="1" customWidth="1"/>
    <col min="2" max="2" width="16.109375" bestFit="1" customWidth="1"/>
    <col min="4" max="4" width="15.5546875" bestFit="1" customWidth="1"/>
    <col min="5" max="5" width="16.109375" bestFit="1" customWidth="1"/>
    <col min="8" max="8" width="12.5546875" bestFit="1" customWidth="1"/>
    <col min="9" max="9" width="21.109375" bestFit="1" customWidth="1"/>
  </cols>
  <sheetData>
    <row r="3" spans="1:9" x14ac:dyDescent="0.3">
      <c r="A3" s="5" t="s">
        <v>49</v>
      </c>
      <c r="B3" t="s">
        <v>53</v>
      </c>
      <c r="D3" s="5" t="s">
        <v>49</v>
      </c>
      <c r="E3" t="s">
        <v>53</v>
      </c>
      <c r="H3" s="5" t="s">
        <v>49</v>
      </c>
      <c r="I3" t="s">
        <v>54</v>
      </c>
    </row>
    <row r="4" spans="1:9" x14ac:dyDescent="0.3">
      <c r="A4" s="6" t="s">
        <v>50</v>
      </c>
      <c r="B4" s="7">
        <v>5</v>
      </c>
      <c r="D4" s="6" t="s">
        <v>42</v>
      </c>
      <c r="E4" s="7">
        <v>2</v>
      </c>
      <c r="H4" s="6" t="s">
        <v>44</v>
      </c>
      <c r="I4" s="7">
        <v>91</v>
      </c>
    </row>
    <row r="5" spans="1:9" x14ac:dyDescent="0.3">
      <c r="A5" s="6" t="s">
        <v>51</v>
      </c>
      <c r="B5" s="7">
        <v>11</v>
      </c>
      <c r="D5" s="6" t="s">
        <v>43</v>
      </c>
      <c r="E5" s="7">
        <v>2</v>
      </c>
      <c r="H5" s="6" t="s">
        <v>45</v>
      </c>
      <c r="I5" s="7">
        <v>32</v>
      </c>
    </row>
    <row r="6" spans="1:9" x14ac:dyDescent="0.3">
      <c r="A6" s="6" t="s">
        <v>52</v>
      </c>
      <c r="B6" s="7">
        <v>16</v>
      </c>
      <c r="D6" s="6" t="s">
        <v>48</v>
      </c>
      <c r="E6" s="7">
        <v>1</v>
      </c>
      <c r="H6" s="6" t="s">
        <v>46</v>
      </c>
      <c r="I6" s="7">
        <v>5</v>
      </c>
    </row>
    <row r="7" spans="1:9" x14ac:dyDescent="0.3">
      <c r="D7" s="6" t="s">
        <v>39</v>
      </c>
      <c r="E7" s="7">
        <v>4</v>
      </c>
      <c r="H7" s="6" t="s">
        <v>52</v>
      </c>
      <c r="I7" s="7">
        <v>128</v>
      </c>
    </row>
    <row r="8" spans="1:9" x14ac:dyDescent="0.3">
      <c r="D8" s="6" t="s">
        <v>47</v>
      </c>
      <c r="E8" s="7">
        <v>2</v>
      </c>
    </row>
    <row r="9" spans="1:9" x14ac:dyDescent="0.3">
      <c r="D9" s="6" t="s">
        <v>40</v>
      </c>
      <c r="E9" s="7">
        <v>2</v>
      </c>
    </row>
    <row r="10" spans="1:9" x14ac:dyDescent="0.3">
      <c r="D10" s="6" t="s">
        <v>41</v>
      </c>
      <c r="E10" s="7">
        <v>3</v>
      </c>
    </row>
    <row r="11" spans="1:9" x14ac:dyDescent="0.3">
      <c r="D11" s="6" t="s">
        <v>52</v>
      </c>
      <c r="E11" s="7">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47CF2-3FF7-411B-A06A-70BB94BCB2B4}">
  <dimension ref="A1"/>
  <sheetViews>
    <sheetView showGridLines="0" tabSelected="1" workbookViewId="0">
      <selection activeCell="W19" sqref="W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Pivot_Calc</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NEELAKSHI BALIYAN</dc:creator>
  <cp:lastModifiedBy>NEELAKSHI BALIYAN</cp:lastModifiedBy>
  <dcterms:created xsi:type="dcterms:W3CDTF">2026-10-04T07:40:29Z</dcterms:created>
  <dcterms:modified xsi:type="dcterms:W3CDTF">2026-10-07T04:31:14Z</dcterms:modified>
</cp:coreProperties>
</file>